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m\Desktop\"/>
    </mc:Choice>
  </mc:AlternateContent>
  <bookViews>
    <workbookView xWindow="0" yWindow="0" windowWidth="23040" windowHeight="9252"/>
  </bookViews>
  <sheets>
    <sheet name="Fornecimanto de Trato" sheetId="2" r:id="rId1"/>
  </sheets>
  <definedNames>
    <definedName name="_xlnm._FilterDatabase" localSheetId="0" hidden="1">'Fornecimanto de Trato'!$C$4:$AE$25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H8" i="2"/>
  <c r="J8" i="2" l="1"/>
  <c r="J9" i="2"/>
  <c r="J10" i="2"/>
  <c r="J11" i="2"/>
  <c r="J12" i="2"/>
  <c r="J13" i="2"/>
  <c r="J14" i="2"/>
  <c r="J15" i="2"/>
  <c r="J16" i="2"/>
  <c r="J17" i="2"/>
  <c r="J18" i="2"/>
  <c r="J19" i="2"/>
  <c r="D25" i="2" l="1"/>
  <c r="AE20" i="2" l="1"/>
  <c r="AE21" i="2"/>
  <c r="AE22" i="2"/>
  <c r="AE23" i="2"/>
  <c r="L18" i="2"/>
  <c r="L12" i="2" l="1"/>
  <c r="L11" i="2"/>
  <c r="J6" i="2" l="1"/>
  <c r="G25" i="2" l="1"/>
  <c r="T25" i="2"/>
  <c r="W25" i="2"/>
  <c r="Z25" i="2"/>
  <c r="AC25" i="2"/>
  <c r="AE25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6" i="2"/>
  <c r="L23" i="2"/>
  <c r="O23" i="2" s="1"/>
  <c r="Q23" i="2" s="1"/>
  <c r="L22" i="2"/>
  <c r="O22" i="2" s="1"/>
  <c r="Q22" i="2" s="1"/>
  <c r="L21" i="2"/>
  <c r="O21" i="2" s="1"/>
  <c r="Q21" i="2" s="1"/>
  <c r="L20" i="2"/>
  <c r="O20" i="2" s="1"/>
  <c r="Q20" i="2" s="1"/>
  <c r="O19" i="2"/>
  <c r="Q19" i="2" s="1"/>
  <c r="S19" i="2" s="1"/>
  <c r="O18" i="2"/>
  <c r="Q18" i="2" s="1"/>
  <c r="S18" i="2" s="1"/>
  <c r="L17" i="2"/>
  <c r="O17" i="2" s="1"/>
  <c r="Q17" i="2" s="1"/>
  <c r="S17" i="2" s="1"/>
  <c r="L16" i="2"/>
  <c r="O16" i="2" s="1"/>
  <c r="Q16" i="2" s="1"/>
  <c r="S16" i="2" s="1"/>
  <c r="L15" i="2"/>
  <c r="O15" i="2" s="1"/>
  <c r="Q15" i="2" s="1"/>
  <c r="S15" i="2" s="1"/>
  <c r="L14" i="2"/>
  <c r="O14" i="2" s="1"/>
  <c r="Q14" i="2" s="1"/>
  <c r="S14" i="2" s="1"/>
  <c r="O12" i="2"/>
  <c r="Q12" i="2" s="1"/>
  <c r="S12" i="2" s="1"/>
  <c r="O11" i="2"/>
  <c r="Q11" i="2" s="1"/>
  <c r="S11" i="2" s="1"/>
  <c r="L10" i="2"/>
  <c r="O10" i="2" s="1"/>
  <c r="Q10" i="2" s="1"/>
  <c r="S10" i="2" s="1"/>
  <c r="L9" i="2"/>
  <c r="O9" i="2" s="1"/>
  <c r="Q9" i="2" s="1"/>
  <c r="S9" i="2" s="1"/>
  <c r="L8" i="2"/>
  <c r="O8" i="2" s="1"/>
  <c r="Q8" i="2" s="1"/>
  <c r="S8" i="2" s="1"/>
  <c r="J7" i="2"/>
  <c r="L7" i="2" s="1"/>
  <c r="O7" i="2" s="1"/>
  <c r="Q7" i="2" s="1"/>
  <c r="S7" i="2" s="1"/>
  <c r="L6" i="2"/>
  <c r="O6" i="2" s="1"/>
  <c r="Q6" i="2" s="1"/>
  <c r="S6" i="2" s="1"/>
  <c r="P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7" i="2"/>
  <c r="H6" i="2"/>
  <c r="AB23" i="2" l="1"/>
  <c r="Y23" i="2"/>
  <c r="V23" i="2"/>
  <c r="S23" i="2"/>
  <c r="AB22" i="2"/>
  <c r="Y22" i="2"/>
  <c r="V22" i="2"/>
  <c r="S22" i="2"/>
  <c r="AD22" i="2" s="1"/>
  <c r="V21" i="2"/>
  <c r="S21" i="2"/>
  <c r="AB21" i="2"/>
  <c r="Y21" i="2"/>
  <c r="Y20" i="2"/>
  <c r="S20" i="2"/>
  <c r="V20" i="2"/>
  <c r="AB20" i="2"/>
  <c r="L13" i="2"/>
  <c r="O13" i="2" s="1"/>
  <c r="H25" i="2"/>
  <c r="V15" i="2"/>
  <c r="V14" i="2"/>
  <c r="AB17" i="2"/>
  <c r="V17" i="2"/>
  <c r="AB16" i="2"/>
  <c r="AB14" i="2"/>
  <c r="Y14" i="2"/>
  <c r="Y16" i="2"/>
  <c r="V16" i="2"/>
  <c r="Y17" i="2"/>
  <c r="Y15" i="2"/>
  <c r="AB15" i="2"/>
  <c r="AB12" i="2"/>
  <c r="AB11" i="2"/>
  <c r="AB10" i="2"/>
  <c r="AB19" i="2"/>
  <c r="AB7" i="2"/>
  <c r="Y8" i="2"/>
  <c r="V9" i="2"/>
  <c r="Y12" i="2"/>
  <c r="V6" i="2"/>
  <c r="Y11" i="2"/>
  <c r="V12" i="2"/>
  <c r="Y6" i="2"/>
  <c r="AB9" i="2"/>
  <c r="Y10" i="2"/>
  <c r="V11" i="2"/>
  <c r="AB6" i="2"/>
  <c r="AB8" i="2"/>
  <c r="Y9" i="2"/>
  <c r="V10" i="2"/>
  <c r="AB18" i="2"/>
  <c r="Y19" i="2"/>
  <c r="Y7" i="2"/>
  <c r="V8" i="2"/>
  <c r="Y18" i="2"/>
  <c r="V19" i="2"/>
  <c r="V7" i="2"/>
  <c r="V18" i="2"/>
  <c r="AD23" i="2" l="1"/>
  <c r="AD21" i="2"/>
  <c r="AD20" i="2"/>
  <c r="Q13" i="2"/>
  <c r="O25" i="2"/>
  <c r="AD16" i="2"/>
  <c r="AD17" i="2"/>
  <c r="AD11" i="2"/>
  <c r="AD18" i="2"/>
  <c r="AD15" i="2"/>
  <c r="AD14" i="2"/>
  <c r="AD10" i="2"/>
  <c r="AD8" i="2"/>
  <c r="AD19" i="2"/>
  <c r="AD7" i="2"/>
  <c r="AD6" i="2"/>
  <c r="AD12" i="2"/>
  <c r="AD9" i="2"/>
  <c r="S13" i="2" l="1"/>
  <c r="Q25" i="2"/>
  <c r="Y13" i="2"/>
  <c r="Y25" i="2" s="1"/>
  <c r="AB13" i="2"/>
  <c r="AB25" i="2" s="1"/>
  <c r="V13" i="2"/>
  <c r="V25" i="2" s="1"/>
  <c r="S25" i="2" l="1"/>
  <c r="AD13" i="2"/>
  <c r="AD25" i="2" s="1"/>
</calcChain>
</file>

<file path=xl/sharedStrings.xml><?xml version="1.0" encoding="utf-8"?>
<sst xmlns="http://schemas.openxmlformats.org/spreadsheetml/2006/main" count="92" uniqueCount="34">
  <si>
    <t xml:space="preserve">QUANTIDADE DE CABEÇAS </t>
  </si>
  <si>
    <t>CURRAIS</t>
  </si>
  <si>
    <t>DATA DE ENTRADA</t>
  </si>
  <si>
    <t>PESO DE ENTRADA (KG)</t>
  </si>
  <si>
    <t>PESO ENTRADA (@)</t>
  </si>
  <si>
    <t>PERMANENCIA CONFINAMENTO</t>
  </si>
  <si>
    <t>GIRO</t>
  </si>
  <si>
    <t>1º</t>
  </si>
  <si>
    <t>Fechamento Geral Irmão Bichara</t>
  </si>
  <si>
    <t>LINHAS</t>
  </si>
  <si>
    <t>A / VELHA</t>
  </si>
  <si>
    <t>B / NOVA</t>
  </si>
  <si>
    <t>RECEPÇÃO</t>
  </si>
  <si>
    <t>DIETA ATUAL</t>
  </si>
  <si>
    <t>TERMINAÇÃO</t>
  </si>
  <si>
    <t>DIA ATUAL</t>
  </si>
  <si>
    <t>GANHO PESO PREVISTO</t>
  </si>
  <si>
    <t>PESO PROJETADO ATUAL</t>
  </si>
  <si>
    <t>PREVISÃO DE CONSUMO INICIAL</t>
  </si>
  <si>
    <t>MS DIETA ATUAL</t>
  </si>
  <si>
    <t>PREVISÃO DE CONSUMO KG/MS</t>
  </si>
  <si>
    <t>PREVISÃO FORNECIMENTO KG/MO</t>
  </si>
  <si>
    <t>1º TRATO (07:00)</t>
  </si>
  <si>
    <t>2º TRATO (11:00)</t>
  </si>
  <si>
    <t>3º TRATO (13:00)</t>
  </si>
  <si>
    <t>4º TRATO (16:00)</t>
  </si>
  <si>
    <t>%</t>
  </si>
  <si>
    <t>PREVISTO</t>
  </si>
  <si>
    <t>OCORRIDO</t>
  </si>
  <si>
    <t>TOTAL PREVISTO CURRAL (DIA)</t>
  </si>
  <si>
    <t xml:space="preserve"> 2°</t>
  </si>
  <si>
    <t>CRESCIMENTO</t>
  </si>
  <si>
    <t>4 U</t>
  </si>
  <si>
    <t>4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</si>
</sst>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"/>
    <numFmt numFmtId="166" formatCode="0.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4" fontId="0" fillId="0" borderId="6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/>
    </xf>
    <xf numFmtId="164" fontId="5" fillId="0" borderId="16" xfId="1" applyNumberFormat="1" applyFont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164" fontId="4" fillId="0" borderId="15" xfId="1" applyNumberFormat="1" applyFont="1" applyBorder="1" applyAlignment="1">
      <alignment horizontal="center"/>
    </xf>
    <xf numFmtId="164" fontId="4" fillId="0" borderId="16" xfId="1" applyNumberFormat="1" applyFont="1" applyBorder="1" applyAlignment="1">
      <alignment horizontal="center"/>
    </xf>
    <xf numFmtId="164" fontId="4" fillId="0" borderId="14" xfId="1" applyNumberFormat="1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center"/>
    </xf>
    <xf numFmtId="3" fontId="5" fillId="0" borderId="30" xfId="0" applyNumberFormat="1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" fontId="7" fillId="0" borderId="1" xfId="1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9" fontId="8" fillId="0" borderId="8" xfId="2" applyFont="1" applyFill="1" applyBorder="1" applyAlignment="1">
      <alignment horizontal="center" vertical="center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 vertical="center"/>
    </xf>
    <xf numFmtId="166" fontId="8" fillId="0" borderId="6" xfId="1" applyNumberFormat="1" applyFont="1" applyFill="1" applyBorder="1" applyAlignment="1">
      <alignment horizontal="center" vertical="center"/>
    </xf>
    <xf numFmtId="164" fontId="8" fillId="0" borderId="9" xfId="0" applyNumberFormat="1" applyFont="1" applyFill="1" applyBorder="1" applyAlignment="1">
      <alignment horizontal="center" vertical="center"/>
    </xf>
    <xf numFmtId="3" fontId="8" fillId="0" borderId="28" xfId="0" applyNumberFormat="1" applyFont="1" applyFill="1" applyBorder="1" applyAlignment="1">
      <alignment horizontal="center" vertical="center"/>
    </xf>
    <xf numFmtId="164" fontId="8" fillId="0" borderId="13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164" fontId="8" fillId="0" borderId="13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3" fontId="8" fillId="0" borderId="29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164" fontId="8" fillId="0" borderId="15" xfId="1" applyNumberFormat="1" applyFont="1" applyFill="1" applyBorder="1" applyAlignment="1">
      <alignment horizontal="center" vertical="center"/>
    </xf>
    <xf numFmtId="164" fontId="8" fillId="0" borderId="16" xfId="1" applyNumberFormat="1" applyFont="1" applyFill="1" applyBorder="1" applyAlignment="1">
      <alignment horizontal="center" vertical="center"/>
    </xf>
    <xf numFmtId="164" fontId="8" fillId="0" borderId="14" xfId="1" applyNumberFormat="1" applyFont="1" applyFill="1" applyBorder="1" applyAlignment="1">
      <alignment horizontal="center" vertical="center"/>
    </xf>
    <xf numFmtId="2" fontId="8" fillId="0" borderId="15" xfId="0" applyNumberFormat="1" applyFont="1" applyFill="1" applyBorder="1" applyAlignment="1">
      <alignment horizontal="center" vertical="center"/>
    </xf>
    <xf numFmtId="164" fontId="8" fillId="0" borderId="16" xfId="0" applyNumberFormat="1" applyFont="1" applyFill="1" applyBorder="1" applyAlignment="1">
      <alignment horizontal="center" vertical="center"/>
    </xf>
    <xf numFmtId="3" fontId="8" fillId="0" borderId="30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4" fontId="0" fillId="3" borderId="6" xfId="1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66" fontId="2" fillId="3" borderId="6" xfId="0" applyNumberFormat="1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10" fontId="2" fillId="3" borderId="6" xfId="2" applyNumberFormat="1" applyFont="1" applyFill="1" applyBorder="1" applyAlignment="1">
      <alignment horizontal="center"/>
    </xf>
    <xf numFmtId="10" fontId="0" fillId="3" borderId="6" xfId="2" applyNumberFormat="1" applyFont="1" applyFill="1" applyBorder="1" applyAlignment="1">
      <alignment horizontal="center"/>
    </xf>
    <xf numFmtId="2" fontId="0" fillId="3" borderId="10" xfId="2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center" vertical="center"/>
    </xf>
    <xf numFmtId="14" fontId="0" fillId="4" borderId="6" xfId="1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66" fontId="2" fillId="4" borderId="6" xfId="0" applyNumberFormat="1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0" fontId="2" fillId="4" borderId="6" xfId="2" applyNumberFormat="1" applyFon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10" fontId="0" fillId="4" borderId="6" xfId="2" applyNumberFormat="1" applyFont="1" applyFill="1" applyBorder="1" applyAlignment="1">
      <alignment horizontal="center"/>
    </xf>
    <xf numFmtId="2" fontId="0" fillId="4" borderId="10" xfId="2" applyNumberFormat="1" applyFont="1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9" fontId="0" fillId="4" borderId="8" xfId="2" applyFont="1" applyFill="1" applyBorder="1" applyAlignment="1">
      <alignment horizontal="center" vertical="center"/>
    </xf>
    <xf numFmtId="164" fontId="2" fillId="4" borderId="9" xfId="1" applyNumberFormat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horizontal="center"/>
    </xf>
    <xf numFmtId="164" fontId="1" fillId="4" borderId="9" xfId="1" applyNumberFormat="1" applyFon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3" fontId="2" fillId="4" borderId="28" xfId="0" applyNumberFormat="1" applyFont="1" applyFill="1" applyBorder="1" applyAlignment="1">
      <alignment horizontal="center" vertical="center" wrapText="1"/>
    </xf>
    <xf numFmtId="3" fontId="2" fillId="4" borderId="28" xfId="0" applyNumberFormat="1" applyFont="1" applyFill="1" applyBorder="1" applyAlignment="1">
      <alignment horizontal="center"/>
    </xf>
    <xf numFmtId="10" fontId="2" fillId="4" borderId="6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164" fontId="2" fillId="4" borderId="13" xfId="1" applyNumberFormat="1" applyFont="1" applyFill="1" applyBorder="1" applyAlignment="1">
      <alignment horizontal="center"/>
    </xf>
    <xf numFmtId="164" fontId="1" fillId="4" borderId="13" xfId="1" applyNumberFormat="1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164" fontId="5" fillId="4" borderId="9" xfId="1" applyNumberFormat="1" applyFont="1" applyFill="1" applyBorder="1" applyAlignment="1">
      <alignment horizontal="center"/>
    </xf>
    <xf numFmtId="164" fontId="4" fillId="4" borderId="9" xfId="1" applyNumberFormat="1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2" fontId="7" fillId="4" borderId="1" xfId="1" applyNumberFormat="1" applyFont="1" applyFill="1" applyBorder="1" applyAlignment="1">
      <alignment horizontal="center" vertical="center"/>
    </xf>
    <xf numFmtId="166" fontId="7" fillId="4" borderId="6" xfId="0" applyNumberFormat="1" applyFont="1" applyFill="1" applyBorder="1" applyAlignment="1">
      <alignment horizontal="center"/>
    </xf>
    <xf numFmtId="2" fontId="7" fillId="4" borderId="6" xfId="0" applyNumberFormat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0" fontId="7" fillId="4" borderId="6" xfId="2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10" fontId="6" fillId="4" borderId="6" xfId="2" applyNumberFormat="1" applyFont="1" applyFill="1" applyBorder="1" applyAlignment="1">
      <alignment horizontal="center"/>
    </xf>
    <xf numFmtId="2" fontId="6" fillId="4" borderId="10" xfId="2" applyNumberFormat="1" applyFont="1" applyFill="1" applyBorder="1" applyAlignment="1">
      <alignment horizontal="center"/>
    </xf>
    <xf numFmtId="9" fontId="6" fillId="4" borderId="8" xfId="2" applyFont="1" applyFill="1" applyBorder="1" applyAlignment="1">
      <alignment horizontal="center"/>
    </xf>
    <xf numFmtId="2" fontId="7" fillId="4" borderId="6" xfId="0" applyNumberFormat="1" applyFont="1" applyFill="1" applyBorder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9" fontId="6" fillId="4" borderId="8" xfId="2" applyFont="1" applyFill="1" applyBorder="1" applyAlignment="1">
      <alignment horizontal="center" vertical="center"/>
    </xf>
    <xf numFmtId="164" fontId="7" fillId="4" borderId="9" xfId="1" applyNumberFormat="1" applyFont="1" applyFill="1" applyBorder="1" applyAlignment="1">
      <alignment horizontal="center"/>
    </xf>
    <xf numFmtId="166" fontId="7" fillId="4" borderId="6" xfId="1" applyNumberFormat="1" applyFont="1" applyFill="1" applyBorder="1" applyAlignment="1">
      <alignment horizontal="center"/>
    </xf>
    <xf numFmtId="164" fontId="6" fillId="4" borderId="9" xfId="1" applyNumberFormat="1" applyFont="1" applyFill="1" applyBorder="1" applyAlignment="1">
      <alignment horizontal="center"/>
    </xf>
    <xf numFmtId="164" fontId="6" fillId="4" borderId="13" xfId="0" applyNumberFormat="1" applyFont="1" applyFill="1" applyBorder="1" applyAlignment="1">
      <alignment horizontal="center"/>
    </xf>
    <xf numFmtId="3" fontId="7" fillId="4" borderId="28" xfId="0" applyNumberFormat="1" applyFont="1" applyFill="1" applyBorder="1" applyAlignment="1">
      <alignment horizontal="center" vertical="center" wrapText="1"/>
    </xf>
    <xf numFmtId="3" fontId="7" fillId="4" borderId="28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165" fontId="0" fillId="3" borderId="6" xfId="0" applyNumberFormat="1" applyFont="1" applyFill="1" applyBorder="1" applyAlignment="1">
      <alignment horizontal="center"/>
    </xf>
    <xf numFmtId="2" fontId="2" fillId="3" borderId="6" xfId="1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/>
    </xf>
    <xf numFmtId="2" fontId="0" fillId="3" borderId="6" xfId="0" applyNumberFormat="1" applyFont="1" applyFill="1" applyBorder="1" applyAlignment="1">
      <alignment horizontal="center"/>
    </xf>
    <xf numFmtId="9" fontId="0" fillId="3" borderId="8" xfId="2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9" fontId="0" fillId="3" borderId="8" xfId="2" applyFont="1" applyFill="1" applyBorder="1" applyAlignment="1">
      <alignment horizontal="center" vertical="center"/>
    </xf>
    <xf numFmtId="164" fontId="2" fillId="3" borderId="9" xfId="1" applyNumberFormat="1" applyFont="1" applyFill="1" applyBorder="1" applyAlignment="1">
      <alignment horizontal="center"/>
    </xf>
    <xf numFmtId="166" fontId="2" fillId="3" borderId="6" xfId="1" applyNumberFormat="1" applyFont="1" applyFill="1" applyBorder="1" applyAlignment="1">
      <alignment horizontal="center"/>
    </xf>
    <xf numFmtId="164" fontId="0" fillId="3" borderId="9" xfId="1" applyNumberFormat="1" applyFont="1" applyFill="1" applyBorder="1" applyAlignment="1">
      <alignment horizontal="center"/>
    </xf>
    <xf numFmtId="164" fontId="0" fillId="3" borderId="9" xfId="0" applyNumberFormat="1" applyFont="1" applyFill="1" applyBorder="1" applyAlignment="1">
      <alignment horizontal="center"/>
    </xf>
    <xf numFmtId="3" fontId="2" fillId="3" borderId="28" xfId="0" applyNumberFormat="1" applyFont="1" applyFill="1" applyBorder="1" applyAlignment="1">
      <alignment horizontal="center" vertical="center" wrapText="1"/>
    </xf>
    <xf numFmtId="3" fontId="2" fillId="3" borderId="28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48"/>
  <sheetViews>
    <sheetView tabSelected="1" zoomScaleNormal="100" workbookViewId="0">
      <selection activeCell="A6" sqref="A6"/>
    </sheetView>
  </sheetViews>
  <sheetFormatPr defaultColWidth="8.69921875" defaultRowHeight="13.8"/>
  <cols>
    <col min="1" max="1" width="8.09765625" style="1" customWidth="1"/>
    <col min="2" max="2" width="8.69921875" style="1"/>
    <col min="3" max="3" width="9.296875" style="1" customWidth="1"/>
    <col min="4" max="4" width="14.19921875" style="1" customWidth="1"/>
    <col min="5" max="5" width="9.59765625" style="1" bestFit="1" customWidth="1"/>
    <col min="6" max="8" width="14.19921875" style="1" customWidth="1"/>
    <col min="9" max="9" width="13.19921875" style="1" customWidth="1"/>
    <col min="10" max="10" width="16" style="1" customWidth="1"/>
    <col min="11" max="11" width="12.5" style="1" customWidth="1"/>
    <col min="12" max="12" width="15.69921875" style="1" customWidth="1"/>
    <col min="13" max="13" width="14.19921875" style="1" customWidth="1"/>
    <col min="14" max="14" width="17.19921875" style="1" customWidth="1"/>
    <col min="15" max="15" width="18.59765625" style="1" customWidth="1"/>
    <col min="16" max="16" width="11.296875" style="1" customWidth="1"/>
    <col min="17" max="17" width="20.796875" style="1" customWidth="1"/>
    <col min="18" max="19" width="10.19921875" style="1" customWidth="1"/>
    <col min="20" max="20" width="12.59765625" style="1" customWidth="1"/>
    <col min="21" max="22" width="10.19921875" style="1" customWidth="1"/>
    <col min="23" max="23" width="12.59765625" style="1" customWidth="1"/>
    <col min="24" max="25" width="10.19921875" style="1" customWidth="1"/>
    <col min="26" max="26" width="12.59765625" style="1" customWidth="1"/>
    <col min="27" max="28" width="10.19921875" style="1" customWidth="1"/>
    <col min="29" max="29" width="12.59765625" style="1" customWidth="1"/>
    <col min="30" max="31" width="23.296875" style="1" customWidth="1"/>
    <col min="32" max="16384" width="8.69921875" style="1"/>
  </cols>
  <sheetData>
    <row r="2" spans="2:31" ht="14.4" thickBot="1"/>
    <row r="3" spans="2:31" ht="23.4" thickBot="1">
      <c r="B3" s="77" t="s">
        <v>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</row>
    <row r="4" spans="2:31" s="3" customFormat="1" ht="16.5" customHeight="1" thickBot="1">
      <c r="B4" s="84" t="s">
        <v>9</v>
      </c>
      <c r="C4" s="82" t="s">
        <v>1</v>
      </c>
      <c r="D4" s="86" t="s">
        <v>0</v>
      </c>
      <c r="E4" s="86" t="s">
        <v>6</v>
      </c>
      <c r="F4" s="86" t="s">
        <v>2</v>
      </c>
      <c r="G4" s="86" t="s">
        <v>3</v>
      </c>
      <c r="H4" s="86" t="s">
        <v>4</v>
      </c>
      <c r="I4" s="82" t="s">
        <v>15</v>
      </c>
      <c r="J4" s="86" t="s">
        <v>5</v>
      </c>
      <c r="K4" s="86" t="s">
        <v>16</v>
      </c>
      <c r="L4" s="86" t="s">
        <v>17</v>
      </c>
      <c r="M4" s="82" t="s">
        <v>13</v>
      </c>
      <c r="N4" s="86" t="s">
        <v>18</v>
      </c>
      <c r="O4" s="86" t="s">
        <v>20</v>
      </c>
      <c r="P4" s="86" t="s">
        <v>19</v>
      </c>
      <c r="Q4" s="90" t="s">
        <v>21</v>
      </c>
      <c r="R4" s="79" t="s">
        <v>22</v>
      </c>
      <c r="S4" s="80"/>
      <c r="T4" s="81"/>
      <c r="U4" s="79" t="s">
        <v>23</v>
      </c>
      <c r="V4" s="80"/>
      <c r="W4" s="81"/>
      <c r="X4" s="79" t="s">
        <v>24</v>
      </c>
      <c r="Y4" s="80"/>
      <c r="Z4" s="81"/>
      <c r="AA4" s="79" t="s">
        <v>25</v>
      </c>
      <c r="AB4" s="80"/>
      <c r="AC4" s="81"/>
      <c r="AD4" s="88" t="s">
        <v>29</v>
      </c>
      <c r="AE4" s="88" t="s">
        <v>29</v>
      </c>
    </row>
    <row r="5" spans="2:31" s="3" customFormat="1" ht="29.4" customHeight="1" thickBot="1">
      <c r="B5" s="85"/>
      <c r="C5" s="83"/>
      <c r="D5" s="87"/>
      <c r="E5" s="87"/>
      <c r="F5" s="87"/>
      <c r="G5" s="87"/>
      <c r="H5" s="87"/>
      <c r="I5" s="83"/>
      <c r="J5" s="87"/>
      <c r="K5" s="87"/>
      <c r="L5" s="87"/>
      <c r="M5" s="83"/>
      <c r="N5" s="87"/>
      <c r="O5" s="87"/>
      <c r="P5" s="87"/>
      <c r="Q5" s="91"/>
      <c r="R5" s="32" t="s">
        <v>26</v>
      </c>
      <c r="S5" s="33" t="s">
        <v>27</v>
      </c>
      <c r="T5" s="34" t="s">
        <v>28</v>
      </c>
      <c r="U5" s="32" t="s">
        <v>26</v>
      </c>
      <c r="V5" s="33" t="s">
        <v>27</v>
      </c>
      <c r="W5" s="34" t="s">
        <v>28</v>
      </c>
      <c r="X5" s="32" t="s">
        <v>26</v>
      </c>
      <c r="Y5" s="33" t="s">
        <v>27</v>
      </c>
      <c r="Z5" s="34" t="s">
        <v>28</v>
      </c>
      <c r="AA5" s="32" t="s">
        <v>26</v>
      </c>
      <c r="AB5" s="33" t="s">
        <v>27</v>
      </c>
      <c r="AC5" s="34" t="s">
        <v>28</v>
      </c>
      <c r="AD5" s="89"/>
      <c r="AE5" s="89"/>
    </row>
    <row r="6" spans="2:31">
      <c r="B6" s="13" t="s">
        <v>10</v>
      </c>
      <c r="C6" s="159">
        <v>1</v>
      </c>
      <c r="D6" s="160">
        <v>37</v>
      </c>
      <c r="E6" s="160" t="s">
        <v>7</v>
      </c>
      <c r="F6" s="161">
        <v>46079</v>
      </c>
      <c r="G6" s="162">
        <v>351.72</v>
      </c>
      <c r="H6" s="163">
        <f t="shared" ref="H6:H24" si="0">(G6*50%)/15</f>
        <v>11.724</v>
      </c>
      <c r="I6" s="92">
        <v>46224</v>
      </c>
      <c r="J6" s="93">
        <f>I6-F6</f>
        <v>145</v>
      </c>
      <c r="K6" s="94">
        <v>1.5</v>
      </c>
      <c r="L6" s="95">
        <f>(K6*J6)+G6</f>
        <v>569.22</v>
      </c>
      <c r="M6" s="164" t="s">
        <v>14</v>
      </c>
      <c r="N6" s="96">
        <v>2.2499999999999999E-2</v>
      </c>
      <c r="O6" s="165">
        <f>L6*N6</f>
        <v>12.807449999999999</v>
      </c>
      <c r="P6" s="97">
        <v>0.57499999999999996</v>
      </c>
      <c r="Q6" s="98">
        <f>O6/P6</f>
        <v>22.273826086956522</v>
      </c>
      <c r="R6" s="166">
        <v>0.3</v>
      </c>
      <c r="S6" s="167">
        <f>(Q6*R6)*D6</f>
        <v>247.23946956521741</v>
      </c>
      <c r="T6" s="168"/>
      <c r="U6" s="169">
        <v>0.2</v>
      </c>
      <c r="V6" s="167">
        <f>(Q6*U6)*D6</f>
        <v>164.82631304347825</v>
      </c>
      <c r="W6" s="170"/>
      <c r="X6" s="169">
        <v>0.2</v>
      </c>
      <c r="Y6" s="171">
        <f>(Q6*X6)*D6</f>
        <v>164.82631304347825</v>
      </c>
      <c r="Z6" s="172"/>
      <c r="AA6" s="166">
        <v>0.3</v>
      </c>
      <c r="AB6" s="95">
        <f>(Q6*AA6)*D6</f>
        <v>247.23946956521741</v>
      </c>
      <c r="AC6" s="173"/>
      <c r="AD6" s="174">
        <f>S6+V6+Y6+AB6</f>
        <v>824.13156521739131</v>
      </c>
      <c r="AE6" s="175">
        <f>T6+W6+Z6+AC6</f>
        <v>0</v>
      </c>
    </row>
    <row r="7" spans="2:31">
      <c r="B7" s="2" t="s">
        <v>10</v>
      </c>
      <c r="C7" s="99">
        <v>2</v>
      </c>
      <c r="D7" s="157">
        <v>79</v>
      </c>
      <c r="E7" s="37" t="s">
        <v>30</v>
      </c>
      <c r="F7" s="101">
        <v>46155</v>
      </c>
      <c r="G7" s="158">
        <v>359</v>
      </c>
      <c r="H7" s="103">
        <f t="shared" si="0"/>
        <v>11.966666666666667</v>
      </c>
      <c r="I7" s="104">
        <v>46224</v>
      </c>
      <c r="J7" s="105">
        <f t="shared" ref="J7:J23" si="1">I7-F7</f>
        <v>69</v>
      </c>
      <c r="K7" s="106">
        <v>1.5</v>
      </c>
      <c r="L7" s="107">
        <f t="shared" ref="L7:L23" si="2">(K7*J7)+G7</f>
        <v>462.5</v>
      </c>
      <c r="M7" s="108" t="s">
        <v>14</v>
      </c>
      <c r="N7" s="109">
        <v>2.2499999999999999E-2</v>
      </c>
      <c r="O7" s="110">
        <f t="shared" ref="O7:O23" si="3">L7*N7</f>
        <v>10.40625</v>
      </c>
      <c r="P7" s="111">
        <v>0.57499999999999996</v>
      </c>
      <c r="Q7" s="112">
        <f t="shared" ref="Q7:Q23" si="4">O7/P7</f>
        <v>18.097826086956523</v>
      </c>
      <c r="R7" s="113">
        <v>0.3</v>
      </c>
      <c r="S7" s="114">
        <f t="shared" ref="S7:S23" si="5">(Q7*R7)*D7</f>
        <v>428.91847826086962</v>
      </c>
      <c r="T7" s="115"/>
      <c r="U7" s="116">
        <v>0.2</v>
      </c>
      <c r="V7" s="114">
        <f t="shared" ref="V7:V23" si="6">(Q7*U7)*D7</f>
        <v>285.94565217391306</v>
      </c>
      <c r="W7" s="117"/>
      <c r="X7" s="116">
        <v>0.2</v>
      </c>
      <c r="Y7" s="118">
        <f t="shared" ref="Y7:Y23" si="7">(Q7*X7)*D7</f>
        <v>285.94565217391306</v>
      </c>
      <c r="Z7" s="119"/>
      <c r="AA7" s="113">
        <v>0.3</v>
      </c>
      <c r="AB7" s="107">
        <f t="shared" ref="AB7:AB23" si="8">(Q7*AA7)*D7</f>
        <v>428.91847826086962</v>
      </c>
      <c r="AC7" s="120"/>
      <c r="AD7" s="121">
        <f t="shared" ref="AD7:AD23" si="9">S7+V7+Y7+AB7</f>
        <v>1429.7282608695655</v>
      </c>
      <c r="AE7" s="122">
        <f t="shared" ref="AE7:AE23" si="10">T7+W7+Z7+AC7</f>
        <v>0</v>
      </c>
    </row>
    <row r="8" spans="2:31">
      <c r="B8" s="2" t="s">
        <v>10</v>
      </c>
      <c r="C8" s="99" t="s">
        <v>32</v>
      </c>
      <c r="D8" s="100">
        <v>45</v>
      </c>
      <c r="E8" s="37" t="s">
        <v>30</v>
      </c>
      <c r="F8" s="101">
        <v>46179</v>
      </c>
      <c r="G8" s="102">
        <v>427</v>
      </c>
      <c r="H8" s="103">
        <f t="shared" si="0"/>
        <v>14.233333333333333</v>
      </c>
      <c r="I8" s="104">
        <v>46224</v>
      </c>
      <c r="J8" s="105">
        <f>I8-F8</f>
        <v>45</v>
      </c>
      <c r="K8" s="106">
        <v>1.5</v>
      </c>
      <c r="L8" s="107">
        <f t="shared" si="2"/>
        <v>494.5</v>
      </c>
      <c r="M8" s="108" t="s">
        <v>14</v>
      </c>
      <c r="N8" s="109">
        <v>1.6500000000000001E-2</v>
      </c>
      <c r="O8" s="110">
        <f t="shared" si="3"/>
        <v>8.1592500000000001</v>
      </c>
      <c r="P8" s="111">
        <v>0.58750000000000002</v>
      </c>
      <c r="Q8" s="112">
        <f t="shared" si="4"/>
        <v>13.888085106382979</v>
      </c>
      <c r="R8" s="113">
        <v>0.3</v>
      </c>
      <c r="S8" s="114">
        <f t="shared" si="5"/>
        <v>187.48914893617021</v>
      </c>
      <c r="T8" s="115"/>
      <c r="U8" s="116">
        <v>0.2</v>
      </c>
      <c r="V8" s="114">
        <f t="shared" si="6"/>
        <v>124.99276595744681</v>
      </c>
      <c r="W8" s="117"/>
      <c r="X8" s="116">
        <v>0.2</v>
      </c>
      <c r="Y8" s="118">
        <f t="shared" si="7"/>
        <v>124.99276595744681</v>
      </c>
      <c r="Z8" s="119"/>
      <c r="AA8" s="113">
        <v>0.3</v>
      </c>
      <c r="AB8" s="107">
        <f t="shared" si="8"/>
        <v>187.48914893617021</v>
      </c>
      <c r="AC8" s="120"/>
      <c r="AD8" s="121">
        <f t="shared" si="9"/>
        <v>624.96382978723409</v>
      </c>
      <c r="AE8" s="122">
        <f t="shared" si="10"/>
        <v>0</v>
      </c>
    </row>
    <row r="9" spans="2:31">
      <c r="B9" s="2" t="s">
        <v>10</v>
      </c>
      <c r="C9" s="135" t="s">
        <v>33</v>
      </c>
      <c r="D9" s="136">
        <v>35</v>
      </c>
      <c r="E9" s="37" t="s">
        <v>30</v>
      </c>
      <c r="F9" s="137">
        <v>46179</v>
      </c>
      <c r="G9" s="138">
        <v>340</v>
      </c>
      <c r="H9" s="139">
        <f t="shared" si="0"/>
        <v>11.333333333333334</v>
      </c>
      <c r="I9" s="104">
        <v>46224</v>
      </c>
      <c r="J9" s="105">
        <f t="shared" si="1"/>
        <v>45</v>
      </c>
      <c r="K9" s="140">
        <v>1.5</v>
      </c>
      <c r="L9" s="141">
        <f t="shared" si="2"/>
        <v>407.5</v>
      </c>
      <c r="M9" s="142" t="s">
        <v>14</v>
      </c>
      <c r="N9" s="143">
        <v>2.2499999999999999E-2</v>
      </c>
      <c r="O9" s="144">
        <f t="shared" si="3"/>
        <v>9.1687499999999993</v>
      </c>
      <c r="P9" s="145">
        <v>0.57499999999999996</v>
      </c>
      <c r="Q9" s="146">
        <f t="shared" si="4"/>
        <v>15.945652173913043</v>
      </c>
      <c r="R9" s="147">
        <v>0.3</v>
      </c>
      <c r="S9" s="148">
        <f t="shared" si="5"/>
        <v>167.42934782608694</v>
      </c>
      <c r="T9" s="149"/>
      <c r="U9" s="150">
        <v>0.2</v>
      </c>
      <c r="V9" s="148">
        <f t="shared" si="6"/>
        <v>111.6195652173913</v>
      </c>
      <c r="W9" s="151"/>
      <c r="X9" s="150">
        <v>0.2</v>
      </c>
      <c r="Y9" s="152">
        <f t="shared" si="7"/>
        <v>111.6195652173913</v>
      </c>
      <c r="Z9" s="153"/>
      <c r="AA9" s="147">
        <v>0.3</v>
      </c>
      <c r="AB9" s="141">
        <f t="shared" si="8"/>
        <v>167.42934782608694</v>
      </c>
      <c r="AC9" s="154"/>
      <c r="AD9" s="155">
        <f t="shared" si="9"/>
        <v>558.0978260869565</v>
      </c>
      <c r="AE9" s="156">
        <f t="shared" si="10"/>
        <v>0</v>
      </c>
    </row>
    <row r="10" spans="2:31">
      <c r="B10" s="2" t="s">
        <v>10</v>
      </c>
      <c r="C10" s="99">
        <v>5</v>
      </c>
      <c r="D10" s="100">
        <v>54</v>
      </c>
      <c r="E10" s="37" t="s">
        <v>30</v>
      </c>
      <c r="F10" s="101">
        <v>46129</v>
      </c>
      <c r="G10" s="102">
        <v>396.7</v>
      </c>
      <c r="H10" s="103">
        <f t="shared" si="0"/>
        <v>13.223333333333333</v>
      </c>
      <c r="I10" s="104">
        <v>46224</v>
      </c>
      <c r="J10" s="105">
        <f t="shared" si="1"/>
        <v>95</v>
      </c>
      <c r="K10" s="106">
        <v>1.5</v>
      </c>
      <c r="L10" s="107">
        <f t="shared" si="2"/>
        <v>539.20000000000005</v>
      </c>
      <c r="M10" s="108" t="s">
        <v>14</v>
      </c>
      <c r="N10" s="109">
        <v>2.2499999999999999E-2</v>
      </c>
      <c r="O10" s="110">
        <f t="shared" si="3"/>
        <v>12.132000000000001</v>
      </c>
      <c r="P10" s="111">
        <v>0.57499999999999996</v>
      </c>
      <c r="Q10" s="112">
        <f t="shared" si="4"/>
        <v>21.099130434782612</v>
      </c>
      <c r="R10" s="113">
        <v>0.3</v>
      </c>
      <c r="S10" s="114">
        <f t="shared" si="5"/>
        <v>341.80591304347831</v>
      </c>
      <c r="T10" s="115"/>
      <c r="U10" s="116">
        <v>0.2</v>
      </c>
      <c r="V10" s="114">
        <f t="shared" si="6"/>
        <v>227.87060869565221</v>
      </c>
      <c r="W10" s="117"/>
      <c r="X10" s="116">
        <v>0.2</v>
      </c>
      <c r="Y10" s="118">
        <f t="shared" si="7"/>
        <v>227.87060869565221</v>
      </c>
      <c r="Z10" s="119"/>
      <c r="AA10" s="113">
        <v>0.3</v>
      </c>
      <c r="AB10" s="107">
        <f t="shared" si="8"/>
        <v>341.80591304347831</v>
      </c>
      <c r="AC10" s="120"/>
      <c r="AD10" s="121">
        <f t="shared" si="9"/>
        <v>1139.353043478261</v>
      </c>
      <c r="AE10" s="122">
        <f t="shared" si="10"/>
        <v>0</v>
      </c>
    </row>
    <row r="11" spans="2:31">
      <c r="B11" s="2" t="s">
        <v>10</v>
      </c>
      <c r="C11" s="99">
        <v>6</v>
      </c>
      <c r="D11" s="100">
        <v>66</v>
      </c>
      <c r="E11" s="37" t="s">
        <v>30</v>
      </c>
      <c r="F11" s="101">
        <v>46220</v>
      </c>
      <c r="G11" s="102">
        <v>304</v>
      </c>
      <c r="H11" s="103">
        <f t="shared" si="0"/>
        <v>10.133333333333333</v>
      </c>
      <c r="I11" s="104">
        <v>46224</v>
      </c>
      <c r="J11" s="105">
        <f t="shared" si="1"/>
        <v>4</v>
      </c>
      <c r="K11" s="106">
        <v>1.5</v>
      </c>
      <c r="L11" s="107">
        <f>(K11*J11)+G11</f>
        <v>310</v>
      </c>
      <c r="M11" s="108" t="s">
        <v>31</v>
      </c>
      <c r="N11" s="109">
        <v>1.6500000000000001E-2</v>
      </c>
      <c r="O11" s="110">
        <f t="shared" si="3"/>
        <v>5.1150000000000002</v>
      </c>
      <c r="P11" s="111">
        <v>0.58750000000000002</v>
      </c>
      <c r="Q11" s="112">
        <f t="shared" si="4"/>
        <v>8.7063829787234042</v>
      </c>
      <c r="R11" s="113">
        <v>0.3</v>
      </c>
      <c r="S11" s="114">
        <f t="shared" si="5"/>
        <v>172.38638297872342</v>
      </c>
      <c r="T11" s="115"/>
      <c r="U11" s="116">
        <v>0.2</v>
      </c>
      <c r="V11" s="114">
        <f t="shared" si="6"/>
        <v>114.92425531914894</v>
      </c>
      <c r="W11" s="117"/>
      <c r="X11" s="116">
        <v>0.2</v>
      </c>
      <c r="Y11" s="118">
        <f t="shared" si="7"/>
        <v>114.92425531914894</v>
      </c>
      <c r="Z11" s="119"/>
      <c r="AA11" s="113">
        <v>0.3</v>
      </c>
      <c r="AB11" s="107">
        <f t="shared" si="8"/>
        <v>172.38638297872342</v>
      </c>
      <c r="AC11" s="120"/>
      <c r="AD11" s="121">
        <f t="shared" si="9"/>
        <v>574.62127659574469</v>
      </c>
      <c r="AE11" s="122">
        <f t="shared" si="10"/>
        <v>0</v>
      </c>
    </row>
    <row r="12" spans="2:31">
      <c r="B12" s="2" t="s">
        <v>10</v>
      </c>
      <c r="C12" s="128">
        <v>7</v>
      </c>
      <c r="D12" s="129">
        <v>101</v>
      </c>
      <c r="E12" s="37" t="s">
        <v>30</v>
      </c>
      <c r="F12" s="101">
        <v>46219</v>
      </c>
      <c r="G12" s="130">
        <v>339</v>
      </c>
      <c r="H12" s="103">
        <f t="shared" si="0"/>
        <v>11.3</v>
      </c>
      <c r="I12" s="104">
        <v>46224</v>
      </c>
      <c r="J12" s="105">
        <f t="shared" si="1"/>
        <v>5</v>
      </c>
      <c r="K12" s="106">
        <v>1.5</v>
      </c>
      <c r="L12" s="107">
        <f t="shared" si="2"/>
        <v>346.5</v>
      </c>
      <c r="M12" s="131" t="s">
        <v>31</v>
      </c>
      <c r="N12" s="109">
        <v>1.8499999999999999E-2</v>
      </c>
      <c r="O12" s="110">
        <f t="shared" si="3"/>
        <v>6.4102499999999996</v>
      </c>
      <c r="P12" s="111">
        <v>0.57499999999999996</v>
      </c>
      <c r="Q12" s="112">
        <f t="shared" si="4"/>
        <v>11.148260869565217</v>
      </c>
      <c r="R12" s="113">
        <v>0.3</v>
      </c>
      <c r="S12" s="114">
        <f t="shared" si="5"/>
        <v>337.79230434782608</v>
      </c>
      <c r="T12" s="115"/>
      <c r="U12" s="116">
        <v>0.2</v>
      </c>
      <c r="V12" s="114">
        <f t="shared" si="6"/>
        <v>225.19486956521737</v>
      </c>
      <c r="W12" s="132"/>
      <c r="X12" s="116">
        <v>0.2</v>
      </c>
      <c r="Y12" s="118">
        <f t="shared" si="7"/>
        <v>225.19486956521737</v>
      </c>
      <c r="Z12" s="133"/>
      <c r="AA12" s="113">
        <v>0.3</v>
      </c>
      <c r="AB12" s="107">
        <f t="shared" si="8"/>
        <v>337.79230434782608</v>
      </c>
      <c r="AC12" s="134"/>
      <c r="AD12" s="121">
        <f t="shared" si="9"/>
        <v>1125.9743478260868</v>
      </c>
      <c r="AE12" s="122">
        <f t="shared" si="10"/>
        <v>0</v>
      </c>
    </row>
    <row r="13" spans="2:31">
      <c r="B13" s="2" t="s">
        <v>10</v>
      </c>
      <c r="C13" s="99">
        <v>8</v>
      </c>
      <c r="D13" s="100">
        <v>103</v>
      </c>
      <c r="E13" s="10" t="s">
        <v>30</v>
      </c>
      <c r="F13" s="101">
        <v>46128</v>
      </c>
      <c r="G13" s="102">
        <v>340</v>
      </c>
      <c r="H13" s="103">
        <f t="shared" si="0"/>
        <v>11.333333333333334</v>
      </c>
      <c r="I13" s="104">
        <v>46224</v>
      </c>
      <c r="J13" s="105">
        <f t="shared" si="1"/>
        <v>96</v>
      </c>
      <c r="K13" s="106">
        <v>1.5</v>
      </c>
      <c r="L13" s="107">
        <f>(K13*J13)+G13</f>
        <v>484</v>
      </c>
      <c r="M13" s="108" t="s">
        <v>14</v>
      </c>
      <c r="N13" s="109">
        <v>2.2499999999999999E-2</v>
      </c>
      <c r="O13" s="110">
        <f t="shared" si="3"/>
        <v>10.889999999999999</v>
      </c>
      <c r="P13" s="111">
        <v>0.57499999999999996</v>
      </c>
      <c r="Q13" s="112">
        <f t="shared" si="4"/>
        <v>18.939130434782609</v>
      </c>
      <c r="R13" s="113">
        <v>0.3</v>
      </c>
      <c r="S13" s="114">
        <f t="shared" si="5"/>
        <v>585.21913043478264</v>
      </c>
      <c r="T13" s="115"/>
      <c r="U13" s="116">
        <v>0.2</v>
      </c>
      <c r="V13" s="114">
        <f t="shared" si="6"/>
        <v>390.14608695652174</v>
      </c>
      <c r="W13" s="117"/>
      <c r="X13" s="116">
        <v>0.2</v>
      </c>
      <c r="Y13" s="118">
        <f t="shared" si="7"/>
        <v>390.14608695652174</v>
      </c>
      <c r="Z13" s="119"/>
      <c r="AA13" s="113">
        <v>0.3</v>
      </c>
      <c r="AB13" s="107">
        <f t="shared" si="8"/>
        <v>585.21913043478264</v>
      </c>
      <c r="AC13" s="120"/>
      <c r="AD13" s="121">
        <f t="shared" si="9"/>
        <v>1950.7304347826089</v>
      </c>
      <c r="AE13" s="122">
        <f t="shared" si="10"/>
        <v>0</v>
      </c>
    </row>
    <row r="14" spans="2:31">
      <c r="B14" s="2" t="s">
        <v>11</v>
      </c>
      <c r="C14" s="99">
        <v>9</v>
      </c>
      <c r="D14" s="100">
        <v>97</v>
      </c>
      <c r="E14" s="10" t="s">
        <v>30</v>
      </c>
      <c r="F14" s="101">
        <v>46155</v>
      </c>
      <c r="G14" s="102">
        <v>336</v>
      </c>
      <c r="H14" s="103">
        <f t="shared" si="0"/>
        <v>11.2</v>
      </c>
      <c r="I14" s="104">
        <v>46224</v>
      </c>
      <c r="J14" s="105">
        <f t="shared" si="1"/>
        <v>69</v>
      </c>
      <c r="K14" s="106">
        <v>1.5</v>
      </c>
      <c r="L14" s="107">
        <f t="shared" si="2"/>
        <v>439.5</v>
      </c>
      <c r="M14" s="108" t="s">
        <v>14</v>
      </c>
      <c r="N14" s="109">
        <v>2.2499999999999999E-2</v>
      </c>
      <c r="O14" s="110">
        <f t="shared" si="3"/>
        <v>9.8887499999999999</v>
      </c>
      <c r="P14" s="111">
        <v>0.57499999999999996</v>
      </c>
      <c r="Q14" s="112">
        <f t="shared" si="4"/>
        <v>17.197826086956525</v>
      </c>
      <c r="R14" s="113">
        <v>0.3</v>
      </c>
      <c r="S14" s="114">
        <f t="shared" si="5"/>
        <v>500.45673913043487</v>
      </c>
      <c r="T14" s="115"/>
      <c r="U14" s="116">
        <v>0.2</v>
      </c>
      <c r="V14" s="114">
        <f t="shared" si="6"/>
        <v>333.63782608695658</v>
      </c>
      <c r="W14" s="117"/>
      <c r="X14" s="116">
        <v>0.2</v>
      </c>
      <c r="Y14" s="118">
        <f t="shared" si="7"/>
        <v>333.63782608695658</v>
      </c>
      <c r="Z14" s="119"/>
      <c r="AA14" s="113">
        <v>0.3</v>
      </c>
      <c r="AB14" s="107">
        <f t="shared" si="8"/>
        <v>500.45673913043487</v>
      </c>
      <c r="AC14" s="120"/>
      <c r="AD14" s="121">
        <f t="shared" si="9"/>
        <v>1668.1891304347828</v>
      </c>
      <c r="AE14" s="122">
        <f t="shared" si="10"/>
        <v>0</v>
      </c>
    </row>
    <row r="15" spans="2:31">
      <c r="B15" s="2" t="s">
        <v>11</v>
      </c>
      <c r="C15" s="99">
        <v>10</v>
      </c>
      <c r="D15" s="100">
        <v>43</v>
      </c>
      <c r="E15" s="10" t="s">
        <v>30</v>
      </c>
      <c r="F15" s="101">
        <v>46127</v>
      </c>
      <c r="G15" s="102">
        <v>340</v>
      </c>
      <c r="H15" s="103">
        <f t="shared" si="0"/>
        <v>11.333333333333334</v>
      </c>
      <c r="I15" s="104">
        <v>46224</v>
      </c>
      <c r="J15" s="105">
        <f t="shared" si="1"/>
        <v>97</v>
      </c>
      <c r="K15" s="106">
        <v>1.5</v>
      </c>
      <c r="L15" s="107">
        <f t="shared" si="2"/>
        <v>485.5</v>
      </c>
      <c r="M15" s="108" t="s">
        <v>14</v>
      </c>
      <c r="N15" s="109">
        <v>2.2499999999999999E-2</v>
      </c>
      <c r="O15" s="110">
        <f t="shared" si="3"/>
        <v>10.92375</v>
      </c>
      <c r="P15" s="111">
        <v>0.57499999999999996</v>
      </c>
      <c r="Q15" s="112">
        <f t="shared" si="4"/>
        <v>18.997826086956522</v>
      </c>
      <c r="R15" s="113">
        <v>0.3</v>
      </c>
      <c r="S15" s="114">
        <f t="shared" si="5"/>
        <v>245.07195652173914</v>
      </c>
      <c r="T15" s="115"/>
      <c r="U15" s="116">
        <v>0.2</v>
      </c>
      <c r="V15" s="114">
        <f t="shared" si="6"/>
        <v>163.38130434782607</v>
      </c>
      <c r="W15" s="117"/>
      <c r="X15" s="116">
        <v>0.2</v>
      </c>
      <c r="Y15" s="118">
        <f t="shared" si="7"/>
        <v>163.38130434782607</v>
      </c>
      <c r="Z15" s="119"/>
      <c r="AA15" s="113">
        <v>0.3</v>
      </c>
      <c r="AB15" s="107">
        <f t="shared" si="8"/>
        <v>245.07195652173914</v>
      </c>
      <c r="AC15" s="120"/>
      <c r="AD15" s="121">
        <f t="shared" si="9"/>
        <v>816.90652173913043</v>
      </c>
      <c r="AE15" s="122">
        <f t="shared" si="10"/>
        <v>0</v>
      </c>
    </row>
    <row r="16" spans="2:31">
      <c r="B16" s="2" t="s">
        <v>11</v>
      </c>
      <c r="C16" s="99">
        <v>11</v>
      </c>
      <c r="D16" s="100">
        <v>97</v>
      </c>
      <c r="E16" s="10" t="s">
        <v>30</v>
      </c>
      <c r="F16" s="101">
        <v>46219</v>
      </c>
      <c r="G16" s="102">
        <v>349.8</v>
      </c>
      <c r="H16" s="103">
        <f t="shared" si="0"/>
        <v>11.66</v>
      </c>
      <c r="I16" s="104">
        <v>46224</v>
      </c>
      <c r="J16" s="105">
        <f t="shared" si="1"/>
        <v>5</v>
      </c>
      <c r="K16" s="106">
        <v>1.5</v>
      </c>
      <c r="L16" s="107">
        <f t="shared" si="2"/>
        <v>357.3</v>
      </c>
      <c r="M16" s="108" t="s">
        <v>14</v>
      </c>
      <c r="N16" s="109">
        <v>2.2499999999999999E-2</v>
      </c>
      <c r="O16" s="110">
        <f t="shared" si="3"/>
        <v>8.0392499999999991</v>
      </c>
      <c r="P16" s="111">
        <v>0.57499999999999996</v>
      </c>
      <c r="Q16" s="112">
        <f t="shared" si="4"/>
        <v>13.981304347826086</v>
      </c>
      <c r="R16" s="113">
        <v>0.3</v>
      </c>
      <c r="S16" s="114">
        <f t="shared" si="5"/>
        <v>406.85595652173907</v>
      </c>
      <c r="T16" s="115"/>
      <c r="U16" s="116">
        <v>0.2</v>
      </c>
      <c r="V16" s="114">
        <f t="shared" si="6"/>
        <v>271.23730434782607</v>
      </c>
      <c r="W16" s="117"/>
      <c r="X16" s="116">
        <v>0.2</v>
      </c>
      <c r="Y16" s="118">
        <f t="shared" si="7"/>
        <v>271.23730434782607</v>
      </c>
      <c r="Z16" s="119"/>
      <c r="AA16" s="113">
        <v>0.3</v>
      </c>
      <c r="AB16" s="107">
        <f t="shared" si="8"/>
        <v>406.85595652173907</v>
      </c>
      <c r="AC16" s="120"/>
      <c r="AD16" s="121">
        <f t="shared" si="9"/>
        <v>1356.1865217391303</v>
      </c>
      <c r="AE16" s="122">
        <f t="shared" si="10"/>
        <v>0</v>
      </c>
    </row>
    <row r="17" spans="2:32">
      <c r="B17" s="2" t="s">
        <v>11</v>
      </c>
      <c r="C17" s="99">
        <v>12</v>
      </c>
      <c r="D17" s="100">
        <v>102</v>
      </c>
      <c r="E17" s="10" t="s">
        <v>30</v>
      </c>
      <c r="F17" s="101">
        <v>46150</v>
      </c>
      <c r="G17" s="102">
        <v>340</v>
      </c>
      <c r="H17" s="103">
        <f t="shared" si="0"/>
        <v>11.333333333333334</v>
      </c>
      <c r="I17" s="104">
        <v>46224</v>
      </c>
      <c r="J17" s="105">
        <f t="shared" si="1"/>
        <v>74</v>
      </c>
      <c r="K17" s="106">
        <v>1.5</v>
      </c>
      <c r="L17" s="107">
        <f t="shared" si="2"/>
        <v>451</v>
      </c>
      <c r="M17" s="108" t="s">
        <v>14</v>
      </c>
      <c r="N17" s="109">
        <v>2.2499999999999999E-2</v>
      </c>
      <c r="O17" s="110">
        <f t="shared" si="3"/>
        <v>10.147499999999999</v>
      </c>
      <c r="P17" s="111">
        <v>0.57499999999999996</v>
      </c>
      <c r="Q17" s="112">
        <f t="shared" si="4"/>
        <v>17.64782608695652</v>
      </c>
      <c r="R17" s="113">
        <v>0.3</v>
      </c>
      <c r="S17" s="114">
        <f t="shared" si="5"/>
        <v>540.02347826086952</v>
      </c>
      <c r="T17" s="115"/>
      <c r="U17" s="116">
        <v>0.2</v>
      </c>
      <c r="V17" s="114">
        <f t="shared" si="6"/>
        <v>360.01565217391305</v>
      </c>
      <c r="W17" s="117"/>
      <c r="X17" s="116">
        <v>0.2</v>
      </c>
      <c r="Y17" s="118">
        <f t="shared" si="7"/>
        <v>360.01565217391305</v>
      </c>
      <c r="Z17" s="119"/>
      <c r="AA17" s="113">
        <v>0.3</v>
      </c>
      <c r="AB17" s="107">
        <f t="shared" si="8"/>
        <v>540.02347826086952</v>
      </c>
      <c r="AC17" s="120"/>
      <c r="AD17" s="121">
        <f t="shared" si="9"/>
        <v>1800.0782608695652</v>
      </c>
      <c r="AE17" s="122">
        <f t="shared" si="10"/>
        <v>0</v>
      </c>
    </row>
    <row r="18" spans="2:32">
      <c r="B18" s="2" t="s">
        <v>11</v>
      </c>
      <c r="C18" s="99">
        <v>13</v>
      </c>
      <c r="D18" s="100">
        <v>108</v>
      </c>
      <c r="E18" s="10" t="s">
        <v>30</v>
      </c>
      <c r="F18" s="101">
        <v>46209</v>
      </c>
      <c r="G18" s="102">
        <v>355.8</v>
      </c>
      <c r="H18" s="103">
        <f t="shared" si="0"/>
        <v>11.860000000000001</v>
      </c>
      <c r="I18" s="104">
        <v>46224</v>
      </c>
      <c r="J18" s="105">
        <f t="shared" si="1"/>
        <v>15</v>
      </c>
      <c r="K18" s="106">
        <v>1.5</v>
      </c>
      <c r="L18" s="107">
        <f t="shared" si="2"/>
        <v>378.3</v>
      </c>
      <c r="M18" s="108" t="s">
        <v>14</v>
      </c>
      <c r="N18" s="109">
        <v>2.2499999999999999E-2</v>
      </c>
      <c r="O18" s="110">
        <f t="shared" si="3"/>
        <v>8.5117499999999993</v>
      </c>
      <c r="P18" s="111">
        <v>0.57499999999999996</v>
      </c>
      <c r="Q18" s="112">
        <f t="shared" si="4"/>
        <v>14.80304347826087</v>
      </c>
      <c r="R18" s="113">
        <v>0.3</v>
      </c>
      <c r="S18" s="114">
        <f t="shared" si="5"/>
        <v>479.6186086956522</v>
      </c>
      <c r="T18" s="115"/>
      <c r="U18" s="116">
        <v>0.2</v>
      </c>
      <c r="V18" s="114">
        <f t="shared" si="6"/>
        <v>319.7457391304348</v>
      </c>
      <c r="W18" s="117"/>
      <c r="X18" s="116">
        <v>0.2</v>
      </c>
      <c r="Y18" s="118">
        <f t="shared" si="7"/>
        <v>319.7457391304348</v>
      </c>
      <c r="Z18" s="119"/>
      <c r="AA18" s="113">
        <v>0.3</v>
      </c>
      <c r="AB18" s="107">
        <f t="shared" si="8"/>
        <v>479.6186086956522</v>
      </c>
      <c r="AC18" s="120"/>
      <c r="AD18" s="121">
        <f t="shared" si="9"/>
        <v>1598.7286956521739</v>
      </c>
      <c r="AE18" s="122">
        <f t="shared" si="10"/>
        <v>0</v>
      </c>
    </row>
    <row r="19" spans="2:32">
      <c r="B19" s="2" t="s">
        <v>11</v>
      </c>
      <c r="C19" s="99">
        <v>14</v>
      </c>
      <c r="D19" s="100">
        <v>100</v>
      </c>
      <c r="E19" s="10" t="s">
        <v>30</v>
      </c>
      <c r="F19" s="101">
        <v>46154</v>
      </c>
      <c r="G19" s="102">
        <v>340</v>
      </c>
      <c r="H19" s="103">
        <f t="shared" si="0"/>
        <v>11.333333333333334</v>
      </c>
      <c r="I19" s="104">
        <v>46224</v>
      </c>
      <c r="J19" s="105">
        <f t="shared" si="1"/>
        <v>70</v>
      </c>
      <c r="K19" s="106">
        <v>1.5</v>
      </c>
      <c r="L19" s="107">
        <f t="shared" si="2"/>
        <v>445</v>
      </c>
      <c r="M19" s="108" t="s">
        <v>14</v>
      </c>
      <c r="N19" s="109">
        <v>2.2499999999999999E-2</v>
      </c>
      <c r="O19" s="110">
        <f t="shared" si="3"/>
        <v>10.012499999999999</v>
      </c>
      <c r="P19" s="111">
        <v>0.57499999999999996</v>
      </c>
      <c r="Q19" s="112">
        <f t="shared" si="4"/>
        <v>17.413043478260871</v>
      </c>
      <c r="R19" s="113">
        <v>0.3</v>
      </c>
      <c r="S19" s="114">
        <f t="shared" si="5"/>
        <v>522.39130434782612</v>
      </c>
      <c r="T19" s="115"/>
      <c r="U19" s="116">
        <v>0.2</v>
      </c>
      <c r="V19" s="114">
        <f t="shared" si="6"/>
        <v>348.26086956521743</v>
      </c>
      <c r="W19" s="117"/>
      <c r="X19" s="116">
        <v>0.2</v>
      </c>
      <c r="Y19" s="118">
        <f t="shared" si="7"/>
        <v>348.26086956521743</v>
      </c>
      <c r="Z19" s="119"/>
      <c r="AA19" s="113">
        <v>0.3</v>
      </c>
      <c r="AB19" s="107">
        <f t="shared" si="8"/>
        <v>522.39130434782612</v>
      </c>
      <c r="AC19" s="120"/>
      <c r="AD19" s="121">
        <f t="shared" si="9"/>
        <v>1741.304347826087</v>
      </c>
      <c r="AE19" s="122">
        <f t="shared" si="10"/>
        <v>0</v>
      </c>
    </row>
    <row r="20" spans="2:32">
      <c r="B20" s="2" t="s">
        <v>12</v>
      </c>
      <c r="C20" s="99">
        <v>17</v>
      </c>
      <c r="D20" s="100">
        <v>0</v>
      </c>
      <c r="E20" s="10" t="s">
        <v>30</v>
      </c>
      <c r="F20" s="101"/>
      <c r="G20" s="102"/>
      <c r="H20" s="103">
        <f t="shared" si="0"/>
        <v>0</v>
      </c>
      <c r="I20" s="104">
        <v>46224</v>
      </c>
      <c r="J20" s="105"/>
      <c r="K20" s="106">
        <v>1.5</v>
      </c>
      <c r="L20" s="107">
        <f t="shared" si="2"/>
        <v>0</v>
      </c>
      <c r="M20" s="108" t="s">
        <v>14</v>
      </c>
      <c r="N20" s="123">
        <v>2.2499999999999999E-2</v>
      </c>
      <c r="O20" s="124">
        <f t="shared" si="3"/>
        <v>0</v>
      </c>
      <c r="P20" s="111">
        <v>0.57499999999999996</v>
      </c>
      <c r="Q20" s="112">
        <f t="shared" si="4"/>
        <v>0</v>
      </c>
      <c r="R20" s="113">
        <v>0.3</v>
      </c>
      <c r="S20" s="114">
        <f t="shared" si="5"/>
        <v>0</v>
      </c>
      <c r="T20" s="125"/>
      <c r="U20" s="116">
        <v>0.2</v>
      </c>
      <c r="V20" s="114">
        <f t="shared" si="6"/>
        <v>0</v>
      </c>
      <c r="W20" s="126"/>
      <c r="X20" s="116">
        <v>0.2</v>
      </c>
      <c r="Y20" s="118">
        <f t="shared" si="7"/>
        <v>0</v>
      </c>
      <c r="Z20" s="127"/>
      <c r="AA20" s="113">
        <v>0.3</v>
      </c>
      <c r="AB20" s="107">
        <f t="shared" si="8"/>
        <v>0</v>
      </c>
      <c r="AC20" s="120"/>
      <c r="AD20" s="121">
        <f t="shared" si="9"/>
        <v>0</v>
      </c>
      <c r="AE20" s="122">
        <f t="shared" si="10"/>
        <v>0</v>
      </c>
    </row>
    <row r="21" spans="2:32">
      <c r="B21" s="2" t="s">
        <v>12</v>
      </c>
      <c r="C21" s="99">
        <v>18</v>
      </c>
      <c r="D21" s="100">
        <v>0</v>
      </c>
      <c r="E21" s="10" t="s">
        <v>30</v>
      </c>
      <c r="F21" s="101"/>
      <c r="G21" s="102"/>
      <c r="H21" s="103">
        <f t="shared" si="0"/>
        <v>0</v>
      </c>
      <c r="I21" s="104">
        <v>46224</v>
      </c>
      <c r="J21" s="105"/>
      <c r="K21" s="106">
        <v>1.5</v>
      </c>
      <c r="L21" s="107">
        <f t="shared" si="2"/>
        <v>0</v>
      </c>
      <c r="M21" s="108" t="s">
        <v>14</v>
      </c>
      <c r="N21" s="123">
        <v>2.2499999999999999E-2</v>
      </c>
      <c r="O21" s="124">
        <f t="shared" si="3"/>
        <v>0</v>
      </c>
      <c r="P21" s="111">
        <v>0.57499999999999996</v>
      </c>
      <c r="Q21" s="112">
        <f t="shared" si="4"/>
        <v>0</v>
      </c>
      <c r="R21" s="113">
        <v>0.3</v>
      </c>
      <c r="S21" s="114">
        <f t="shared" si="5"/>
        <v>0</v>
      </c>
      <c r="T21" s="125"/>
      <c r="U21" s="116">
        <v>0.2</v>
      </c>
      <c r="V21" s="114">
        <f t="shared" si="6"/>
        <v>0</v>
      </c>
      <c r="W21" s="126"/>
      <c r="X21" s="116">
        <v>0.2</v>
      </c>
      <c r="Y21" s="118">
        <f t="shared" si="7"/>
        <v>0</v>
      </c>
      <c r="Z21" s="127"/>
      <c r="AA21" s="113">
        <v>0.3</v>
      </c>
      <c r="AB21" s="107">
        <f t="shared" si="8"/>
        <v>0</v>
      </c>
      <c r="AC21" s="120"/>
      <c r="AD21" s="121">
        <f t="shared" si="9"/>
        <v>0</v>
      </c>
      <c r="AE21" s="122">
        <f t="shared" si="10"/>
        <v>0</v>
      </c>
    </row>
    <row r="22" spans="2:32">
      <c r="B22" s="2" t="s">
        <v>12</v>
      </c>
      <c r="C22" s="99">
        <v>19</v>
      </c>
      <c r="D22" s="100">
        <v>0</v>
      </c>
      <c r="E22" s="10" t="s">
        <v>30</v>
      </c>
      <c r="F22" s="101"/>
      <c r="G22" s="102"/>
      <c r="H22" s="103">
        <f t="shared" si="0"/>
        <v>0</v>
      </c>
      <c r="I22" s="104">
        <v>46224</v>
      </c>
      <c r="J22" s="105"/>
      <c r="K22" s="106">
        <v>1.5</v>
      </c>
      <c r="L22" s="107">
        <f t="shared" si="2"/>
        <v>0</v>
      </c>
      <c r="M22" s="108" t="s">
        <v>14</v>
      </c>
      <c r="N22" s="123">
        <v>2.2499999999999999E-2</v>
      </c>
      <c r="O22" s="124">
        <f t="shared" si="3"/>
        <v>0</v>
      </c>
      <c r="P22" s="111">
        <v>0.57499999999999996</v>
      </c>
      <c r="Q22" s="112">
        <f t="shared" si="4"/>
        <v>0</v>
      </c>
      <c r="R22" s="113">
        <v>0.3</v>
      </c>
      <c r="S22" s="114">
        <f t="shared" si="5"/>
        <v>0</v>
      </c>
      <c r="T22" s="125"/>
      <c r="U22" s="116">
        <v>0.2</v>
      </c>
      <c r="V22" s="114">
        <f t="shared" si="6"/>
        <v>0</v>
      </c>
      <c r="W22" s="126"/>
      <c r="X22" s="116">
        <v>0.2</v>
      </c>
      <c r="Y22" s="118">
        <f t="shared" si="7"/>
        <v>0</v>
      </c>
      <c r="Z22" s="127"/>
      <c r="AA22" s="113">
        <v>0.3</v>
      </c>
      <c r="AB22" s="107">
        <f t="shared" si="8"/>
        <v>0</v>
      </c>
      <c r="AC22" s="120"/>
      <c r="AD22" s="121">
        <f t="shared" si="9"/>
        <v>0</v>
      </c>
      <c r="AE22" s="122">
        <f t="shared" si="10"/>
        <v>0</v>
      </c>
    </row>
    <row r="23" spans="2:32">
      <c r="B23" s="2" t="s">
        <v>12</v>
      </c>
      <c r="C23" s="99">
        <v>20</v>
      </c>
      <c r="D23" s="100">
        <v>0</v>
      </c>
      <c r="E23" s="100" t="s">
        <v>30</v>
      </c>
      <c r="F23" s="101"/>
      <c r="G23" s="102"/>
      <c r="H23" s="103">
        <f t="shared" si="0"/>
        <v>0</v>
      </c>
      <c r="I23" s="104">
        <v>46224</v>
      </c>
      <c r="J23" s="105"/>
      <c r="K23" s="106">
        <v>1.5</v>
      </c>
      <c r="L23" s="107">
        <f t="shared" si="2"/>
        <v>0</v>
      </c>
      <c r="M23" s="108" t="s">
        <v>31</v>
      </c>
      <c r="N23" s="123">
        <v>2.2499999999999999E-2</v>
      </c>
      <c r="O23" s="124">
        <f t="shared" si="3"/>
        <v>0</v>
      </c>
      <c r="P23" s="111">
        <v>0.57499999999999996</v>
      </c>
      <c r="Q23" s="112">
        <f t="shared" si="4"/>
        <v>0</v>
      </c>
      <c r="R23" s="113">
        <v>0.3</v>
      </c>
      <c r="S23" s="114">
        <f t="shared" si="5"/>
        <v>0</v>
      </c>
      <c r="T23" s="125"/>
      <c r="U23" s="116">
        <v>0.2</v>
      </c>
      <c r="V23" s="114">
        <f t="shared" si="6"/>
        <v>0</v>
      </c>
      <c r="W23" s="126"/>
      <c r="X23" s="116">
        <v>0.2</v>
      </c>
      <c r="Y23" s="118">
        <f t="shared" si="7"/>
        <v>0</v>
      </c>
      <c r="Z23" s="127"/>
      <c r="AA23" s="113">
        <v>0.3</v>
      </c>
      <c r="AB23" s="107">
        <f t="shared" si="8"/>
        <v>0</v>
      </c>
      <c r="AC23" s="120"/>
      <c r="AD23" s="121">
        <f t="shared" si="9"/>
        <v>0</v>
      </c>
      <c r="AE23" s="122">
        <f t="shared" si="10"/>
        <v>0</v>
      </c>
    </row>
    <row r="24" spans="2:32" ht="14.4" thickBot="1">
      <c r="B24" s="2" t="s">
        <v>12</v>
      </c>
      <c r="C24" s="38"/>
      <c r="D24" s="39"/>
      <c r="E24" s="76"/>
      <c r="F24" s="4"/>
      <c r="G24" s="40"/>
      <c r="H24" s="41">
        <f t="shared" si="0"/>
        <v>0</v>
      </c>
      <c r="I24" s="16"/>
      <c r="J24" s="17"/>
      <c r="K24" s="18"/>
      <c r="L24" s="15"/>
      <c r="M24" s="11"/>
      <c r="N24" s="14"/>
      <c r="O24" s="12"/>
      <c r="P24" s="19"/>
      <c r="Q24" s="20"/>
      <c r="R24" s="21"/>
      <c r="S24" s="22"/>
      <c r="T24" s="23"/>
      <c r="U24" s="24"/>
      <c r="V24" s="25"/>
      <c r="W24" s="26"/>
      <c r="X24" s="27"/>
      <c r="Y24" s="28"/>
      <c r="Z24" s="29"/>
      <c r="AA24" s="30"/>
      <c r="AB24" s="35"/>
      <c r="AC24" s="31"/>
      <c r="AD24" s="36"/>
      <c r="AE24" s="36"/>
    </row>
    <row r="25" spans="2:32">
      <c r="C25" s="5"/>
      <c r="D25" s="6">
        <f>SUM(D6:D23)</f>
        <v>1067</v>
      </c>
      <c r="E25" s="6"/>
      <c r="F25" s="5"/>
      <c r="G25" s="7">
        <f>AVERAGE(G6:G24)</f>
        <v>351.35857142857145</v>
      </c>
      <c r="H25" s="7">
        <f>AVERAGE(H6:H24)</f>
        <v>8.6298596491228086</v>
      </c>
      <c r="I25" s="16"/>
      <c r="J25" s="8"/>
      <c r="K25" s="8"/>
      <c r="L25" s="8"/>
      <c r="M25" s="5"/>
      <c r="N25" s="7"/>
      <c r="O25" s="8">
        <f t="shared" ref="O25:Q25" si="11">AVERAGE(O6:O15)</f>
        <v>9.5901449999999997</v>
      </c>
      <c r="P25" s="7">
        <f t="shared" si="11"/>
        <v>0.57750000000000001</v>
      </c>
      <c r="Q25" s="9">
        <f t="shared" si="11"/>
        <v>16.629394634597595</v>
      </c>
      <c r="R25" s="9"/>
      <c r="S25" s="7">
        <f>AVERAGE(S6:S24)</f>
        <v>286.81656771507869</v>
      </c>
      <c r="T25" s="7" t="e">
        <f>AVERAGE(T6:T24)</f>
        <v>#DIV/0!</v>
      </c>
      <c r="U25" s="7"/>
      <c r="V25" s="8">
        <f>AVERAGE(V6:V24)</f>
        <v>191.21104514338577</v>
      </c>
      <c r="W25" s="8" t="e">
        <f>AVERAGE(W6:W24)</f>
        <v>#DIV/0!</v>
      </c>
      <c r="X25" s="8"/>
      <c r="Y25" s="8">
        <f>AVERAGE(Y6:Y24)</f>
        <v>191.21104514338577</v>
      </c>
      <c r="Z25" s="8" t="e">
        <f>AVERAGE(Z6:Z24)</f>
        <v>#DIV/0!</v>
      </c>
      <c r="AA25" s="8"/>
      <c r="AB25" s="8">
        <f>AVERAGE(AB6:AB24)</f>
        <v>286.81656771507869</v>
      </c>
      <c r="AC25" s="8" t="e">
        <f>AVERAGE(AC6:AC24)</f>
        <v>#DIV/0!</v>
      </c>
      <c r="AD25" s="8">
        <f>AVERAGE(AD6:AD24)</f>
        <v>956.05522571692882</v>
      </c>
      <c r="AE25" s="8">
        <f>AVERAGE(AE6:AE24)</f>
        <v>0</v>
      </c>
    </row>
    <row r="26" spans="2:32" ht="14.4" thickBot="1"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</row>
    <row r="27" spans="2:32" ht="14.4" thickBot="1">
      <c r="R27" s="68"/>
      <c r="S27" s="69"/>
      <c r="T27" s="70"/>
      <c r="U27" s="68"/>
      <c r="V27" s="69"/>
      <c r="W27" s="70"/>
      <c r="X27" s="68"/>
      <c r="Y27" s="69"/>
      <c r="Z27" s="70"/>
      <c r="AA27" s="68"/>
      <c r="AB27" s="69"/>
      <c r="AC27" s="70"/>
      <c r="AD27" s="71"/>
      <c r="AE27" s="71"/>
    </row>
    <row r="28" spans="2:32" ht="14.4" thickBot="1">
      <c r="R28" s="72"/>
      <c r="S28" s="73"/>
      <c r="T28" s="74"/>
      <c r="U28" s="72"/>
      <c r="V28" s="73"/>
      <c r="W28" s="74"/>
      <c r="X28" s="72"/>
      <c r="Y28" s="73"/>
      <c r="Z28" s="74"/>
      <c r="AA28" s="72"/>
      <c r="AB28" s="73"/>
      <c r="AC28" s="74"/>
      <c r="AD28" s="75"/>
      <c r="AE28" s="75"/>
      <c r="AF28" s="3"/>
    </row>
    <row r="29" spans="2:32">
      <c r="R29" s="43"/>
      <c r="S29" s="44"/>
      <c r="T29" s="45"/>
      <c r="U29" s="43"/>
      <c r="V29" s="44"/>
      <c r="W29" s="46"/>
      <c r="X29" s="43"/>
      <c r="Y29" s="47"/>
      <c r="Z29" s="46"/>
      <c r="AA29" s="43"/>
      <c r="AB29" s="44"/>
      <c r="AC29" s="48"/>
      <c r="AD29" s="49"/>
      <c r="AE29" s="49"/>
    </row>
    <row r="30" spans="2:32">
      <c r="R30" s="43"/>
      <c r="S30" s="44"/>
      <c r="T30" s="45"/>
      <c r="U30" s="43"/>
      <c r="V30" s="44"/>
      <c r="W30" s="46"/>
      <c r="X30" s="43"/>
      <c r="Y30" s="47"/>
      <c r="Z30" s="46"/>
      <c r="AA30" s="43"/>
      <c r="AB30" s="44"/>
      <c r="AC30" s="50"/>
      <c r="AD30" s="49"/>
      <c r="AE30" s="49"/>
    </row>
    <row r="31" spans="2:32">
      <c r="R31" s="43"/>
      <c r="S31" s="44"/>
      <c r="T31" s="45"/>
      <c r="U31" s="43"/>
      <c r="V31" s="44"/>
      <c r="W31" s="46"/>
      <c r="X31" s="43"/>
      <c r="Y31" s="47"/>
      <c r="Z31" s="46"/>
      <c r="AA31" s="43"/>
      <c r="AB31" s="44"/>
      <c r="AC31" s="50"/>
      <c r="AD31" s="49"/>
      <c r="AE31" s="49"/>
    </row>
    <row r="32" spans="2:32">
      <c r="R32" s="43"/>
      <c r="S32" s="44"/>
      <c r="T32" s="45"/>
      <c r="U32" s="43"/>
      <c r="V32" s="44"/>
      <c r="W32" s="46"/>
      <c r="X32" s="43"/>
      <c r="Y32" s="47"/>
      <c r="Z32" s="46"/>
      <c r="AA32" s="43"/>
      <c r="AB32" s="44"/>
      <c r="AC32" s="50"/>
      <c r="AD32" s="49"/>
      <c r="AE32" s="49"/>
    </row>
    <row r="33" spans="18:31">
      <c r="R33" s="43"/>
      <c r="S33" s="44"/>
      <c r="T33" s="45"/>
      <c r="U33" s="43"/>
      <c r="V33" s="44"/>
      <c r="W33" s="46"/>
      <c r="X33" s="43"/>
      <c r="Y33" s="47"/>
      <c r="Z33" s="46"/>
      <c r="AA33" s="43"/>
      <c r="AB33" s="44"/>
      <c r="AC33" s="50"/>
      <c r="AD33" s="49"/>
      <c r="AE33" s="49"/>
    </row>
    <row r="34" spans="18:31">
      <c r="R34" s="43"/>
      <c r="S34" s="44"/>
      <c r="T34" s="45"/>
      <c r="U34" s="43"/>
      <c r="V34" s="44"/>
      <c r="W34" s="46"/>
      <c r="X34" s="43"/>
      <c r="Y34" s="47"/>
      <c r="Z34" s="46"/>
      <c r="AA34" s="43"/>
      <c r="AB34" s="44"/>
      <c r="AC34" s="50"/>
      <c r="AD34" s="49"/>
      <c r="AE34" s="49"/>
    </row>
    <row r="35" spans="18:31">
      <c r="R35" s="43"/>
      <c r="S35" s="44"/>
      <c r="T35" s="45"/>
      <c r="U35" s="43"/>
      <c r="V35" s="44"/>
      <c r="W35" s="46"/>
      <c r="X35" s="43"/>
      <c r="Y35" s="47"/>
      <c r="Z35" s="46"/>
      <c r="AA35" s="43"/>
      <c r="AB35" s="44"/>
      <c r="AC35" s="50"/>
      <c r="AD35" s="49"/>
      <c r="AE35" s="49"/>
    </row>
    <row r="36" spans="18:31">
      <c r="R36" s="43"/>
      <c r="S36" s="44"/>
      <c r="T36" s="45"/>
      <c r="U36" s="43"/>
      <c r="V36" s="44"/>
      <c r="W36" s="46"/>
      <c r="X36" s="43"/>
      <c r="Y36" s="47"/>
      <c r="Z36" s="46"/>
      <c r="AA36" s="43"/>
      <c r="AB36" s="44"/>
      <c r="AC36" s="50"/>
      <c r="AD36" s="49"/>
      <c r="AE36" s="49"/>
    </row>
    <row r="37" spans="18:31">
      <c r="R37" s="43"/>
      <c r="S37" s="44"/>
      <c r="T37" s="45"/>
      <c r="U37" s="43"/>
      <c r="V37" s="44"/>
      <c r="W37" s="46"/>
      <c r="X37" s="43"/>
      <c r="Y37" s="47"/>
      <c r="Z37" s="46"/>
      <c r="AA37" s="43"/>
      <c r="AB37" s="44"/>
      <c r="AC37" s="50"/>
      <c r="AD37" s="49"/>
      <c r="AE37" s="49"/>
    </row>
    <row r="38" spans="18:31">
      <c r="R38" s="43"/>
      <c r="S38" s="44"/>
      <c r="T38" s="45"/>
      <c r="U38" s="43"/>
      <c r="V38" s="44"/>
      <c r="W38" s="46"/>
      <c r="X38" s="43"/>
      <c r="Y38" s="47"/>
      <c r="Z38" s="46"/>
      <c r="AA38" s="43"/>
      <c r="AB38" s="44"/>
      <c r="AC38" s="50"/>
      <c r="AD38" s="49"/>
      <c r="AE38" s="49"/>
    </row>
    <row r="39" spans="18:31">
      <c r="R39" s="43"/>
      <c r="S39" s="44"/>
      <c r="T39" s="45"/>
      <c r="U39" s="43"/>
      <c r="V39" s="44"/>
      <c r="W39" s="46"/>
      <c r="X39" s="43"/>
      <c r="Y39" s="47"/>
      <c r="Z39" s="46"/>
      <c r="AA39" s="43"/>
      <c r="AB39" s="44"/>
      <c r="AC39" s="50"/>
      <c r="AD39" s="49"/>
      <c r="AE39" s="49"/>
    </row>
    <row r="40" spans="18:31">
      <c r="R40" s="43"/>
      <c r="S40" s="44"/>
      <c r="T40" s="45"/>
      <c r="U40" s="43"/>
      <c r="V40" s="44"/>
      <c r="W40" s="46"/>
      <c r="X40" s="43"/>
      <c r="Y40" s="47"/>
      <c r="Z40" s="46"/>
      <c r="AA40" s="43"/>
      <c r="AB40" s="44"/>
      <c r="AC40" s="50"/>
      <c r="AD40" s="49"/>
      <c r="AE40" s="49"/>
    </row>
    <row r="41" spans="18:31">
      <c r="R41" s="43"/>
      <c r="S41" s="44"/>
      <c r="T41" s="45"/>
      <c r="U41" s="43"/>
      <c r="V41" s="44"/>
      <c r="W41" s="46"/>
      <c r="X41" s="43"/>
      <c r="Y41" s="47"/>
      <c r="Z41" s="46"/>
      <c r="AA41" s="43"/>
      <c r="AB41" s="44"/>
      <c r="AC41" s="50"/>
      <c r="AD41" s="49"/>
      <c r="AE41" s="49"/>
    </row>
    <row r="42" spans="18:31">
      <c r="R42" s="43"/>
      <c r="S42" s="44"/>
      <c r="T42" s="45"/>
      <c r="U42" s="43"/>
      <c r="V42" s="44"/>
      <c r="W42" s="46"/>
      <c r="X42" s="43"/>
      <c r="Y42" s="47"/>
      <c r="Z42" s="46"/>
      <c r="AA42" s="43"/>
      <c r="AB42" s="44"/>
      <c r="AC42" s="50"/>
      <c r="AD42" s="49"/>
      <c r="AE42" s="49"/>
    </row>
    <row r="43" spans="18:31">
      <c r="R43" s="51"/>
      <c r="S43" s="52"/>
      <c r="T43" s="53"/>
      <c r="U43" s="51"/>
      <c r="V43" s="54"/>
      <c r="W43" s="55"/>
      <c r="X43" s="56"/>
      <c r="Y43" s="54"/>
      <c r="Z43" s="55"/>
      <c r="AA43" s="56"/>
      <c r="AB43" s="57"/>
      <c r="AC43" s="50"/>
      <c r="AD43" s="58"/>
      <c r="AE43" s="58"/>
    </row>
    <row r="44" spans="18:31">
      <c r="R44" s="51"/>
      <c r="S44" s="52"/>
      <c r="T44" s="53"/>
      <c r="U44" s="51"/>
      <c r="V44" s="54"/>
      <c r="W44" s="55"/>
      <c r="X44" s="56"/>
      <c r="Y44" s="54"/>
      <c r="Z44" s="55"/>
      <c r="AA44" s="56"/>
      <c r="AB44" s="57"/>
      <c r="AC44" s="50"/>
      <c r="AD44" s="58"/>
      <c r="AE44" s="58"/>
    </row>
    <row r="45" spans="18:31">
      <c r="R45" s="51"/>
      <c r="S45" s="52"/>
      <c r="T45" s="53"/>
      <c r="U45" s="51"/>
      <c r="V45" s="54"/>
      <c r="W45" s="55"/>
      <c r="X45" s="56"/>
      <c r="Y45" s="54"/>
      <c r="Z45" s="55"/>
      <c r="AA45" s="56"/>
      <c r="AB45" s="57"/>
      <c r="AC45" s="50"/>
      <c r="AD45" s="58"/>
      <c r="AE45" s="58"/>
    </row>
    <row r="46" spans="18:31">
      <c r="R46" s="51"/>
      <c r="S46" s="52"/>
      <c r="T46" s="53"/>
      <c r="U46" s="51"/>
      <c r="V46" s="54"/>
      <c r="W46" s="55"/>
      <c r="X46" s="56"/>
      <c r="Y46" s="54"/>
      <c r="Z46" s="55"/>
      <c r="AA46" s="56"/>
      <c r="AB46" s="57"/>
      <c r="AC46" s="50"/>
      <c r="AD46" s="58"/>
      <c r="AE46" s="58"/>
    </row>
    <row r="47" spans="18:31" ht="14.4" thickBot="1">
      <c r="R47" s="59"/>
      <c r="S47" s="60"/>
      <c r="T47" s="61"/>
      <c r="U47" s="59"/>
      <c r="V47" s="62"/>
      <c r="W47" s="63"/>
      <c r="X47" s="64"/>
      <c r="Y47" s="62"/>
      <c r="Z47" s="63"/>
      <c r="AA47" s="64"/>
      <c r="AB47" s="65"/>
      <c r="AC47" s="66"/>
      <c r="AD47" s="67"/>
      <c r="AE47" s="67"/>
    </row>
    <row r="48" spans="18:31">
      <c r="R48" s="9"/>
      <c r="S48" s="7"/>
      <c r="T48" s="7"/>
      <c r="U48" s="7"/>
      <c r="V48" s="8"/>
      <c r="W48" s="8"/>
      <c r="X48" s="8"/>
      <c r="Y48" s="8"/>
      <c r="Z48" s="8"/>
      <c r="AA48" s="8"/>
      <c r="AB48" s="8"/>
      <c r="AC48" s="8"/>
      <c r="AD48" s="8"/>
      <c r="AE48" s="8"/>
    </row>
  </sheetData>
  <autoFilter ref="C4:AE25"/>
  <mergeCells count="23">
    <mergeCell ref="L4:L5"/>
    <mergeCell ref="AE4:AE5"/>
    <mergeCell ref="N4:N5"/>
    <mergeCell ref="O4:O5"/>
    <mergeCell ref="P4:P5"/>
    <mergeCell ref="Q4:Q5"/>
    <mergeCell ref="AD4:AD5"/>
    <mergeCell ref="B3:AE3"/>
    <mergeCell ref="U4:W4"/>
    <mergeCell ref="X4:Z4"/>
    <mergeCell ref="AA4:AC4"/>
    <mergeCell ref="R4:T4"/>
    <mergeCell ref="M4:M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Fornecimanto de Trato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Perroni, Rafael</dc:creator>
  <cp:lastModifiedBy>sara maria</cp:lastModifiedBy>
  <dcterms:created xsi:type="dcterms:W3CDTF">2026-01-20T16:49:48Z</dcterms:created>
  <dcterms:modified xsi:type="dcterms:W3CDTF">2026-07-21T20:44:19Z</dcterms:modified>
</cp:coreProperties>
</file>